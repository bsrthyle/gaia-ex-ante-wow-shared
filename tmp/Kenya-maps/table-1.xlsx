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ropbox\CIMMYT-WORK\Analysis\bisrat-analysis-workflows\gaia_exante_bisrat\gaia-ex-ante-wow-shared\tmp\Kenya-maps\"/>
    </mc:Choice>
  </mc:AlternateContent>
  <xr:revisionPtr revIDLastSave="0" documentId="13_ncr:1_{B38296C5-FF4B-484D-9E09-9383805D48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E22" i="1"/>
  <c r="F22" i="1"/>
  <c r="B22" i="1"/>
</calcChain>
</file>

<file path=xl/sharedStrings.xml><?xml version="1.0" encoding="utf-8"?>
<sst xmlns="http://schemas.openxmlformats.org/spreadsheetml/2006/main" count="126" uniqueCount="122">
  <si>
    <t>crop_name</t>
  </si>
  <si>
    <t>Harvested Area (1000xha)</t>
  </si>
  <si>
    <t>Current Production (M tons)</t>
  </si>
  <si>
    <t>Current Value (M USD)</t>
  </si>
  <si>
    <t>Additional Production (M tons)</t>
  </si>
  <si>
    <t>Additional Value (M USD)</t>
  </si>
  <si>
    <t>Cereal</t>
  </si>
  <si>
    <t>806.55</t>
  </si>
  <si>
    <t>1660.12</t>
  </si>
  <si>
    <t>477.92</t>
  </si>
  <si>
    <t>134.31</t>
  </si>
  <si>
    <t>37.93</t>
  </si>
  <si>
    <t>Maize</t>
  </si>
  <si>
    <t>686.77</t>
  </si>
  <si>
    <t>1479.33</t>
  </si>
  <si>
    <t>410.96</t>
  </si>
  <si>
    <t>124.69</t>
  </si>
  <si>
    <t>34.64</t>
  </si>
  <si>
    <t>Sorghum</t>
  </si>
  <si>
    <t>73.5</t>
  </si>
  <si>
    <t>77.1</t>
  </si>
  <si>
    <t>24.84</t>
  </si>
  <si>
    <t>6.8</t>
  </si>
  <si>
    <t>2.19</t>
  </si>
  <si>
    <t>Pearl millet</t>
  </si>
  <si>
    <t>29.7</t>
  </si>
  <si>
    <t>27.73</t>
  </si>
  <si>
    <t>10.62</t>
  </si>
  <si>
    <t>2.25</t>
  </si>
  <si>
    <t>0.86</t>
  </si>
  <si>
    <t>Others-Cereal</t>
  </si>
  <si>
    <t>16.58</t>
  </si>
  <si>
    <t>75.96</t>
  </si>
  <si>
    <t>31.5</t>
  </si>
  <si>
    <t>0.57</t>
  </si>
  <si>
    <t>0.24</t>
  </si>
  <si>
    <t>Commodity</t>
  </si>
  <si>
    <t>158.51</t>
  </si>
  <si>
    <t>4765.21</t>
  </si>
  <si>
    <t>260.3</t>
  </si>
  <si>
    <t>8.66</t>
  </si>
  <si>
    <t>0.45</t>
  </si>
  <si>
    <t>Sugarcane</t>
  </si>
  <si>
    <t>42.04</t>
  </si>
  <si>
    <t>4460.5</t>
  </si>
  <si>
    <t>175.3</t>
  </si>
  <si>
    <t>8.4</t>
  </si>
  <si>
    <t>0.33</t>
  </si>
  <si>
    <t>Tobacco</t>
  </si>
  <si>
    <t>9.12</t>
  </si>
  <si>
    <t>8.24</t>
  </si>
  <si>
    <t>24.38</t>
  </si>
  <si>
    <t>0.02</t>
  </si>
  <si>
    <t>0.05</t>
  </si>
  <si>
    <t>Cotton</t>
  </si>
  <si>
    <t>8</t>
  </si>
  <si>
    <t>5.96</t>
  </si>
  <si>
    <t>3.09</t>
  </si>
  <si>
    <t>0.08</t>
  </si>
  <si>
    <t>0.04</t>
  </si>
  <si>
    <t>Others-Commodity</t>
  </si>
  <si>
    <t>99.35</t>
  </si>
  <si>
    <t>290.51</t>
  </si>
  <si>
    <t>57.53</t>
  </si>
  <si>
    <t>0.16</t>
  </si>
  <si>
    <t>0.03</t>
  </si>
  <si>
    <t>Legume</t>
  </si>
  <si>
    <t>411.64</t>
  </si>
  <si>
    <t>299.03</t>
  </si>
  <si>
    <t>200.48</t>
  </si>
  <si>
    <t>103.72</t>
  </si>
  <si>
    <t>70.95</t>
  </si>
  <si>
    <t>Bean</t>
  </si>
  <si>
    <t>283.74</t>
  </si>
  <si>
    <t>218.93</t>
  </si>
  <si>
    <t>158.16</t>
  </si>
  <si>
    <t>82.97</t>
  </si>
  <si>
    <t>59.94</t>
  </si>
  <si>
    <t>Pigeon Pea</t>
  </si>
  <si>
    <t>57.13</t>
  </si>
  <si>
    <t>34.89</t>
  </si>
  <si>
    <t>15.78</t>
  </si>
  <si>
    <t>11.23</t>
  </si>
  <si>
    <t>5.08</t>
  </si>
  <si>
    <t>Groundnut</t>
  </si>
  <si>
    <t>8.77</t>
  </si>
  <si>
    <t>11.27</t>
  </si>
  <si>
    <t>6.98</t>
  </si>
  <si>
    <t>5.37</t>
  </si>
  <si>
    <t>3.33</t>
  </si>
  <si>
    <t>Others-Legume</t>
  </si>
  <si>
    <t>62</t>
  </si>
  <si>
    <t>33.94</t>
  </si>
  <si>
    <t>19.56</t>
  </si>
  <si>
    <t>4.15</t>
  </si>
  <si>
    <t>2.6</t>
  </si>
  <si>
    <t>Sweet potato</t>
  </si>
  <si>
    <t>28.45</t>
  </si>
  <si>
    <t>471.66</t>
  </si>
  <si>
    <t>137.11</t>
  </si>
  <si>
    <t>27.14</t>
  </si>
  <si>
    <t>7.89</t>
  </si>
  <si>
    <t>RTBs</t>
  </si>
  <si>
    <t>77.45</t>
  </si>
  <si>
    <t>1970.86</t>
  </si>
  <si>
    <t>714.96</t>
  </si>
  <si>
    <t>75.46</t>
  </si>
  <si>
    <t>28.59</t>
  </si>
  <si>
    <t>Potato</t>
  </si>
  <si>
    <t>22.37</t>
  </si>
  <si>
    <t>1090.5</t>
  </si>
  <si>
    <t>468.75</t>
  </si>
  <si>
    <t>47.94</t>
  </si>
  <si>
    <t>20.6</t>
  </si>
  <si>
    <t>Cassava</t>
  </si>
  <si>
    <t>26.63</t>
  </si>
  <si>
    <t>408.7</t>
  </si>
  <si>
    <t>109.1</t>
  </si>
  <si>
    <t>0.38</t>
  </si>
  <si>
    <t>0.1</t>
  </si>
  <si>
    <t>Others-RTBs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</si>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</sst>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B22" sqref="B22:F22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2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2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x14ac:dyDescent="0.2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 x14ac:dyDescent="0.2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 x14ac:dyDescent="0.2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 x14ac:dyDescent="0.2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 x14ac:dyDescent="0.2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 x14ac:dyDescent="0.2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 x14ac:dyDescent="0.2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 x14ac:dyDescent="0.2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 x14ac:dyDescent="0.25">
      <c r="A21" t="s">
        <v>120</v>
      </c>
      <c r="B21" t="s">
        <v>121</v>
      </c>
      <c r="C21" t="s">
        <v>121</v>
      </c>
      <c r="D21" t="s">
        <v>121</v>
      </c>
      <c r="E21" t="s">
        <v>121</v>
      </c>
      <c r="F21" t="s">
        <v>121</v>
      </c>
    </row>
    <row r="22" spans="1:6" x14ac:dyDescent="0.25">
      <c r="B22">
        <f>B2+B7+B12+B18</f>
        <v>1454.1499999999999</v>
      </c>
      <c r="C22">
        <f>C2+C7+C12+C18</f>
        <v>8695.2199999999993</v>
      </c>
      <c r="D22">
        <f t="shared" ref="C22:F22" si="0">D2+D7+D12+D18</f>
        <v>1653.66</v>
      </c>
      <c r="E22">
        <f t="shared" si="0"/>
        <v>322.14999999999998</v>
      </c>
      <c r="F22">
        <f t="shared" si="0"/>
        <v>137.92000000000002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bisrathaile</dc:creator>
  <cp:lastModifiedBy>GEBREKIDAN, Bisrat Haile (CIMMYT-Ethiopia)</cp:lastModifiedBy>
  <dcterms:created xsi:type="dcterms:W3CDTF">2024-11-12T02:04:02Z</dcterms:created>
  <dcterms:modified xsi:type="dcterms:W3CDTF">2024-11-12T14:13:30Z</dcterms:modified>
</cp:coreProperties>
</file>